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xr:revisionPtr revIDLastSave="1" documentId="11_34224EA7ADEF5314A7D195B00603D78D8B40F4C4" xr6:coauthVersionLast="47" xr6:coauthVersionMax="47" xr10:uidLastSave="{F58FCB8D-474C-4900-B87E-91929056084A}"/>
  <bookViews>
    <workbookView xWindow="0" yWindow="0" windowWidth="0" windowHeight="0" xr2:uid="{00000000-000D-0000-FFFF-FFFF00000000}"/>
  </bookViews>
  <sheets>
    <sheet name="Info &amp; Access" sheetId="1" r:id="rId1"/>
    <sheet name="Test Plan" sheetId="2" r:id="rId2"/>
  </sheets>
  <definedNames>
    <definedName name="Google_Sheet_Link_1282997447" hidden="1">'Test Plan'!$B$39:$I$39</definedName>
    <definedName name="Google_Sheet_Link_227720446" hidden="1">'Test Plan'!$B$19:$I$19</definedName>
    <definedName name="Z_DAE9FF97_B702_4B0C_9FF4_3235CCBC6099_.wvu.FilterData" localSheetId="1" hidden="1">'Test Plan'!$A$1:$I$53</definedName>
  </definedNames>
  <calcPr calcId="191028"/>
  <customWorkbookViews>
    <customWorkbookView name="Tableau7 filter view" guid="{DAE9FF97-B702-4B0C-9FF4-3235CCBC6099}"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1LHwYyDW/SL9YPPtN06rvLUyQI6/HwPJY+JZ3ODrNY="/>
    </ext>
  </extLst>
</workbook>
</file>

<file path=xl/calcChain.xml><?xml version="1.0" encoding="utf-8"?>
<calcChain xmlns="http://schemas.openxmlformats.org/spreadsheetml/2006/main">
  <c r="A53" i="2" l="1"/>
  <c r="A52" i="2"/>
  <c r="A51" i="2"/>
  <c r="A50" i="2"/>
  <c r="A49" i="2"/>
  <c r="A48" i="2"/>
  <c r="A47" i="2"/>
  <c r="A46" i="2"/>
  <c r="A45" i="2"/>
  <c r="A44" i="2"/>
  <c r="A43" i="2"/>
  <c r="A42" i="2"/>
  <c r="A41" i="2"/>
  <c r="A40" i="2"/>
  <c r="A39" i="2"/>
  <c r="A38" i="2"/>
  <c r="D37" i="2"/>
  <c r="A37" i="2"/>
  <c r="A36" i="2"/>
  <c r="A35" i="2"/>
  <c r="A34" i="2"/>
  <c r="A33" i="2"/>
  <c r="A32" i="2"/>
  <c r="A31" i="2"/>
  <c r="E30"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alcChain>
</file>

<file path=xl/sharedStrings.xml><?xml version="1.0" encoding="utf-8"?>
<sst xmlns="http://schemas.openxmlformats.org/spreadsheetml/2006/main" count="387" uniqueCount="269">
  <si>
    <t>Acces Point</t>
  </si>
  <si>
    <t>URL</t>
  </si>
  <si>
    <t>Site Web</t>
  </si>
  <si>
    <t>https://sumfleet.com</t>
  </si>
  <si>
    <t>Account type</t>
  </si>
  <si>
    <t>Identifier</t>
  </si>
  <si>
    <t>Password</t>
  </si>
  <si>
    <t>Owner</t>
  </si>
  <si>
    <t>owner-epitech@yopmail.com</t>
  </si>
  <si>
    <t>3P!tech2027</t>
  </si>
  <si>
    <t>Admin</t>
  </si>
  <si>
    <t>admin-epitech@yopmail.com</t>
  </si>
  <si>
    <t>Employee</t>
  </si>
  <si>
    <t>employee-epitech@yopmail.com</t>
  </si>
  <si>
    <t>Feature ID</t>
  </si>
  <si>
    <t>Feature Name</t>
  </si>
  <si>
    <t>Category</t>
  </si>
  <si>
    <t>Objective</t>
  </si>
  <si>
    <t>Prerequisites</t>
  </si>
  <si>
    <t>Steps</t>
  </si>
  <si>
    <t>Expected results</t>
  </si>
  <si>
    <t>Developpement status</t>
  </si>
  <si>
    <t>Feedback</t>
  </si>
  <si>
    <t>Register a new Company</t>
  </si>
  <si>
    <t>Critical feature</t>
  </si>
  <si>
    <t>Create an company account using email and password, on the web version</t>
  </si>
  <si>
    <t>website only
Functional database, server, client, go to the registration page</t>
  </si>
  <si>
    <t xml:space="preserve">1. Fill out the form (company name, email, password)
2. Submit the form
3. Check your inbox for the confirmation email
4. Click the validation button
5. Log in
</t>
  </si>
  <si>
    <t>Company can register a company and log in</t>
  </si>
  <si>
    <t>Done</t>
  </si>
  <si>
    <t>Log in</t>
  </si>
  <si>
    <t>Log in securely to the platform</t>
  </si>
  <si>
    <t>website &amp; mobile
Functional database, server, client, go to the login page</t>
  </si>
  <si>
    <t>1. Fill out the form (email, password)
2. Submit the form
3.  Log in</t>
  </si>
  <si>
    <t>User or Company can log in</t>
  </si>
  <si>
    <t>Update email</t>
  </si>
  <si>
    <t>Update the email address of the account</t>
  </si>
  <si>
    <t>website &amp; mobile only
Functional database, server, client, go to the settings page in the security section</t>
  </si>
  <si>
    <t xml:space="preserve">1. Click on the edit button
2. Fill out the "New email" section
3. Go to the new email to confirm the change
</t>
  </si>
  <si>
    <t>The email is changed</t>
  </si>
  <si>
    <t>Update password</t>
  </si>
  <si>
    <t>Update the account password</t>
  </si>
  <si>
    <t>website only &amp; mobile
Functional database, server, client, go to the settings page in the security section</t>
  </si>
  <si>
    <t xml:space="preserve">1. Click on the edit button
2. Enter your old password in the "Current password" field
3.  Enter your new password in the "New password" field
4. Confirm your new password
5. Click on the "Save password" button
</t>
  </si>
  <si>
    <t>The password is changed</t>
  </si>
  <si>
    <t>Create vehicle</t>
  </si>
  <si>
    <t>Register a new vehicle</t>
  </si>
  <si>
    <t>website only
Functional database, Vehicle models</t>
  </si>
  <si>
    <t>1. Go to "Vehicles" section (on the admin view)
2. Click on "Add vehicle"
3. Fill out the form with the vehicle info
4. Select a location</t>
  </si>
  <si>
    <t>The vehicle is created</t>
  </si>
  <si>
    <t>Edit vehicle</t>
  </si>
  <si>
    <t>Edit vehicle information</t>
  </si>
  <si>
    <t>website only
Functional database, Vehicle models, Vehicle creation</t>
  </si>
  <si>
    <t>1. Go to "Vehicles" section (on the admin view)
2. Click on the three dots next to the vehicle
3. Edit the necessary data
4. Confirm</t>
  </si>
  <si>
    <t>The edited data is correctly registered</t>
  </si>
  <si>
    <t>Delete vehicle</t>
  </si>
  <si>
    <t>Remove a vehicle from the system</t>
  </si>
  <si>
    <t>1. Go to "Vehicles" section (on the admin view)
2. Click on the three dots next to the vehicle
3. Select "Delete"
Alternatively bulk select the vehicles using the tick box and click on "Delete" at the top of the page</t>
  </si>
  <si>
    <t>The vehicle is removed</t>
  </si>
  <si>
    <t>Adding a description to a vehicle</t>
  </si>
  <si>
    <t>Secondary function</t>
  </si>
  <si>
    <t>Permit a user to add a description to the vehicle (saying where to find the key, etc.).</t>
  </si>
  <si>
    <t>website only
Functional database, server, client, owner and a vehicle</t>
  </si>
  <si>
    <t>1. Go to the vehicle page
2. Filter and select the relevant vehicle
3. Click on the "Edit" button
4. Update or add the description
5. Click on the "Save" button</t>
  </si>
  <si>
    <t>The concerned vehicle has a description.</t>
  </si>
  <si>
    <t>In progress</t>
  </si>
  <si>
    <t>View vehicle gas tickets</t>
  </si>
  <si>
    <t>View a specific vehicle's gas ticket data</t>
  </si>
  <si>
    <t xml:space="preserve">website only
Functional database, server, client, owner and employee account, group, vehicle, and a futur  or current reservations associated with the selected employee, Image management and storage, gas ticket database model
</t>
  </si>
  <si>
    <t>1. Go to "Vehicles" section (on the admin view)
2. Click on the three dots next to the vehicle
3. Select view vehicle</t>
  </si>
  <si>
    <t>You can see the gas tickets for this vehicle</t>
  </si>
  <si>
    <t>Import bulk vehicle data</t>
  </si>
  <si>
    <t>Import a large number of vehicles through a CSV file</t>
  </si>
  <si>
    <t>1. Go to "Vehicles" section (on the admin view)
2. Select the "import vehicles" button
3. Select/drag the file you want to import</t>
  </si>
  <si>
    <t>All the vehicles are created</t>
  </si>
  <si>
    <t>Adding profile picture to the vehicle</t>
  </si>
  <si>
    <t>Add a profile picture to the vehicle</t>
  </si>
  <si>
    <t>website only
Functional database, server, client, owner account, group, vehicle,</t>
  </si>
  <si>
    <t>1. Go to the vehicles page
2. Filter to find the relevant vehicle
3. Click on the "..." menu and select "Edit vehicle"
4. Upload the vehicle picture
5. Click on the "Save" button</t>
  </si>
  <si>
    <t>The vehicle as a profile picture</t>
  </si>
  <si>
    <t>Update the vehicle position</t>
  </si>
  <si>
    <t>Update the vehicle position from a parking spot to a custom location, for example.</t>
  </si>
  <si>
    <t>website only
Functional database, server, client, owner account, group, vehicle</t>
  </si>
  <si>
    <t>1. Go to the vehicle page
2. Filter and select the relevant vehicle
3. Click on the "Edit" button
4. Change the location and select the relevant parking spot or enter the location
5. Click on the "Save" button</t>
  </si>
  <si>
    <t>The vehicle is update to the relevant position</t>
  </si>
  <si>
    <t>Create employee or admin</t>
  </si>
  <si>
    <t>Create a new employee or admin account</t>
  </si>
  <si>
    <t>website only
Functional database, server, client, Employee models</t>
  </si>
  <si>
    <t>1. Go to "Employees" section (on the admin view)
2. Click on "Create a new employee"
3. Fill out the email field and select their role and group
4. Click on "Create an employee"</t>
  </si>
  <si>
    <t>The user is created and an account activation email is sent to the address</t>
  </si>
  <si>
    <t>Import bulk user data</t>
  </si>
  <si>
    <t>Import a large number of users through a CSV file</t>
  </si>
  <si>
    <t>website only
Functional database, Employee models, Employee creation</t>
  </si>
  <si>
    <t>1. Go to "Employees" section (on the admin view)
2. Select the "import users" button
3. Select/drag the file you want to import</t>
  </si>
  <si>
    <t>All the users are created</t>
  </si>
  <si>
    <t>View employee gas tickets</t>
  </si>
  <si>
    <t>View a specific user's gas ticket data</t>
  </si>
  <si>
    <t xml:space="preserve">1. Go to "Employees" section (on the admin view)
2. Click on the three dots next to the employee
3. Select view employee
</t>
  </si>
  <si>
    <t>You can see the gas tickets for this employee</t>
  </si>
  <si>
    <t>Edit employee</t>
  </si>
  <si>
    <t>Edit employee information</t>
  </si>
  <si>
    <t>1. Go to "Employees" section (on the admin view)
2. Click on the three dots next to the employee
3. Select edit employee</t>
  </si>
  <si>
    <t>Delete employee</t>
  </si>
  <si>
    <t>Delete an employee account</t>
  </si>
  <si>
    <t>1. Go to "Employees" section (on the admin view)
2. Click on the three dots next to the employee
3. Select "Delete employee"
Alternatively bulk select the employees using the tick box and click on "Delete" at the top of the page</t>
  </si>
  <si>
    <t>The account is removed and user access is disabled</t>
  </si>
  <si>
    <t>Create group</t>
  </si>
  <si>
    <t>Create a new group in the company</t>
  </si>
  <si>
    <t>website only
Functional database, server, client, company or admin account, go to the groups page</t>
  </si>
  <si>
    <t xml:space="preserve">1. Click on the "Create group"
2. Enter the group name on the "Group name" section
3. Select a parent group (optional)
4. Click on the "Create group" button
</t>
  </si>
  <si>
    <t>The group is created</t>
  </si>
  <si>
    <t>Create sub-group</t>
  </si>
  <si>
    <t>Create a new sub-group</t>
  </si>
  <si>
    <t>website only
Functional database, server, client, company, or admin account and groups, go to the groups page</t>
  </si>
  <si>
    <r>
      <rPr>
        <sz val="12"/>
        <color rgb="FF434343"/>
        <rFont val="Arial"/>
      </rPr>
      <t xml:space="preserve">1. Select the relevant group
2. Go to the "Subgroups" section
3. Click on the "Create a new group" button
4. Enter the group name in the "Group name" field
5. Click on the "Create group" button
6. Wait for the success toast message
Or use the </t>
    </r>
    <r>
      <rPr>
        <u/>
        <sz val="12"/>
        <color rgb="FF1155CC"/>
        <rFont val="Arial"/>
      </rPr>
      <t>F18</t>
    </r>
    <r>
      <rPr>
        <sz val="12"/>
        <color rgb="FF434343"/>
        <rFont val="Arial"/>
      </rPr>
      <t xml:space="preserve"> method, making sure to select the desired group as parent</t>
    </r>
  </si>
  <si>
    <t>The subgroup is created and associated to the group selected</t>
  </si>
  <si>
    <t>Assign vehicle to group</t>
  </si>
  <si>
    <t>Assign a vehicle to a group</t>
  </si>
  <si>
    <t>website only
Functional database, Vehicle models, Vehicle creation, Group creation</t>
  </si>
  <si>
    <t>1. Go to "Groups" section (on the admin view)
2. Click on the three dots and then view group
3. Click on "Add vehicles to group"
4. Select which vehicle to add</t>
  </si>
  <si>
    <t>The vehicle is now part of the selected group</t>
  </si>
  <si>
    <t>Move vehicle to another group</t>
  </si>
  <si>
    <t>Assign a vehicle to another group</t>
  </si>
  <si>
    <t>website only
Functional database, server, client, company or admin account, two groups, and an vehicle</t>
  </si>
  <si>
    <t>1. Go to the groups page
2. Select the relevant group
3. Go to the "Vehicles" section
4. Click on the "Add vehicle to this group" button
5. Select the relevant employee
6. Click on the "Add to group" button
7. Wait for the success toast message</t>
  </si>
  <si>
    <t>The vehicle is on the new group</t>
  </si>
  <si>
    <t>Remove vehicles from a group</t>
  </si>
  <si>
    <t xml:space="preserve">Remove vehicles from a group
</t>
  </si>
  <si>
    <t>website only
Functional database, server, client, company or admin account, group, and a vehicle, go to the groups page</t>
  </si>
  <si>
    <t>1. Select the relevant group
2. Go to the "Vehicles" section
3. Select the relevant vehicle
4. Click on the "Remove 1 vehicle from the group" button
5. Wait for the success toast message</t>
  </si>
  <si>
    <t xml:space="preserve">The vehicle is no longer in the group
</t>
  </si>
  <si>
    <t>Seeing the tree groups</t>
  </si>
  <si>
    <t>Permit the admin or owner to see all the groups and subgroups in a tree display</t>
  </si>
  <si>
    <t xml:space="preserve">website only
Functional database, server, client, owner and employee account, multiple groups and subgroups </t>
  </si>
  <si>
    <t>1. Go to the groups page
2. Select the relevant group
3. Navigate to the group tree section</t>
  </si>
  <si>
    <t>The user can view all subgroups associated with the group in a tree structure.</t>
  </si>
  <si>
    <t>Invite a employee on a group</t>
  </si>
  <si>
    <t>Permit the admin or owner to create a link to invite a user to their group.</t>
  </si>
  <si>
    <t>website only
Functional database, server, client, owner and employee account, group</t>
  </si>
  <si>
    <t>1. Go to the group page
2. Filter and select the relevant group
3. Go to the "Employee" section
4. Click on the "Invite an employee" button
5. Copy the link
6. Send the link to the concerned employee
7. The employee clicks and logs in if necessary</t>
  </si>
  <si>
    <t>The invite employee is on the group</t>
  </si>
  <si>
    <t>Assign employee to group</t>
  </si>
  <si>
    <t>Assign an employee to a group</t>
  </si>
  <si>
    <t>website only
Functional database, Employee models, Employee creation, Group creation</t>
  </si>
  <si>
    <t>1. Go to "Groups" section (on the admin view)
2. Click on the three dots and then view group
3. Click on "Add employees to group"
4. Select which employee to add</t>
  </si>
  <si>
    <t>The user is now part of the selected group</t>
  </si>
  <si>
    <t>Move an employee or admin to another group</t>
  </si>
  <si>
    <t>Assign an Admin or Employee to another group</t>
  </si>
  <si>
    <t>website only
Functional database, server, client, company or admin account, two groups, and an employe, Go to the groups page</t>
  </si>
  <si>
    <t>1. Select the relevant group
2. Go to the "Employees" section
3. Click on the "Add employees to this group" button
4. Select the relevant employee
5. Click on the "Add to group" button
6. Wait for the success toast message</t>
  </si>
  <si>
    <t>The employee is on the new group, and no longer on this group</t>
  </si>
  <si>
    <t>Remove en employee from a group</t>
  </si>
  <si>
    <t>Remove employees from a group</t>
  </si>
  <si>
    <t>website only
Functional database, server, client, company or admin account, group, and a employee, go to the groups page</t>
  </si>
  <si>
    <t>1. Select the relevant group
2. Go to the "Employees" section
3. Select the relevant employee
4. Click on the "Remove 1 employee from the group" button
5. Wait for the success toast message</t>
  </si>
  <si>
    <t>The employee is no longer in the group</t>
  </si>
  <si>
    <t>Delete a group or a subGroup</t>
  </si>
  <si>
    <t>website only
Functional database, server, client, company or admin account, group, and a sub-group, go to the groups page, go to the groups page</t>
  </si>
  <si>
    <t>1. Select the relevant group
2. Go to the "Subgroups" section
3. Select the relevant subgroup
4. Verify that the group is empty
5. Click on the "Remove 1 subgroup" button
6. Wait for the success toast message
Or go to the groups page, click on the "...", and select "Delete group"</t>
  </si>
  <si>
    <t>The group is no longer in the group, and is deleted</t>
  </si>
  <si>
    <t>Create parking</t>
  </si>
  <si>
    <t>Create a new parking</t>
  </si>
  <si>
    <t>1. Go to the "parking" section (admin view)
2. Click "Create parking"
3. Fill up the parking data and confirm</t>
  </si>
  <si>
    <t>You can view the created parking</t>
  </si>
  <si>
    <t>Update parking</t>
  </si>
  <si>
    <t xml:space="preserve">Update parking
</t>
  </si>
  <si>
    <t>website only
Functional database, Parking models, Parking creation</t>
  </si>
  <si>
    <t>1. Go to the "parking" section (admin view)
2. Click "Edit" on the parking you want to edit
3. Edit the data and confirm</t>
  </si>
  <si>
    <t>The updated data is registered</t>
  </si>
  <si>
    <t>Delete parking</t>
  </si>
  <si>
    <t xml:space="preserve">Delete a parking
</t>
  </si>
  <si>
    <t>1. Go to the "parking" section (admin view)
2. Click the "Delete" button on the parking you want to delete</t>
  </si>
  <si>
    <t>The parking is removed</t>
  </si>
  <si>
    <t>View parking informations</t>
  </si>
  <si>
    <t xml:space="preserve">View detailed information about a parking area
</t>
  </si>
  <si>
    <t>website &amp; mobile
Functional database, server, client, admin account, parking creation</t>
  </si>
  <si>
    <t>1. Go to the "parking" section (admin view)
2. Click the "View details" button on the parking you want to view</t>
  </si>
  <si>
    <t>You can view the parking detailed infos</t>
  </si>
  <si>
    <t>Create parking spots</t>
  </si>
  <si>
    <t xml:space="preserve">Create new parking spots in a parking area
</t>
  </si>
  <si>
    <t>website only
Functional database, server, client, parking models, parking creation</t>
  </si>
  <si>
    <t>1. Go to the "parking" section (admin view)
2. Click the "View details" button on the parking you want to view
3. Click on "Add parking spot" and fill up the informations</t>
  </si>
  <si>
    <t>You can see the created parking spot</t>
  </si>
  <si>
    <t>Manage parking spots</t>
  </si>
  <si>
    <t>Manage parking spaces and spots</t>
  </si>
  <si>
    <t>website only
Functional database, server, client, admin account, parking, and parking spot</t>
  </si>
  <si>
    <t>1. Go to the "parking" section (admin view)
2. Click the "View details" button on the parking you want to view
3. Click the parking spot you want to manage</t>
  </si>
  <si>
    <t>Manage parking vehicles</t>
  </si>
  <si>
    <t xml:space="preserve">Manage vehicles assigned to a specific parking location
</t>
  </si>
  <si>
    <t>website only
Functional database, server, client, admin account, parking, vehicle</t>
  </si>
  <si>
    <t xml:space="preserve">1. Go to the parking view
2. Select the relevant parking and the relevant place
3. Click on the button "Edit the parking place"
4. Select the vehicle that you want ot </t>
  </si>
  <si>
    <t>Add vehicle to parking</t>
  </si>
  <si>
    <t>website only
Functional database, Vehicle models, Vehicle creation, Parking creation</t>
  </si>
  <si>
    <t>1. Go to the vehicle page
2. filter and select the relevant vehicle
3. Click on the "Edit" button
4. Change the location and select the relevant parking
5. Click on the "Save" button</t>
  </si>
  <si>
    <t>The vehicle is added to the parking spot</t>
  </si>
  <si>
    <t>Create reservation</t>
  </si>
  <si>
    <t>Book a vehicle</t>
  </si>
  <si>
    <t>website &amp; mobile
Functional database, Booking models, Vehicle creation, Employee creation</t>
  </si>
  <si>
    <t>1. Go to the "Vehicles" section (on the employee view)
2. Click on an available vehicle
3. Select the booking period and click on "Book vehicle"
4. Fill up the forms data and click "Create booking"</t>
  </si>
  <si>
    <t>The booking is registered and can be started when the time for it comes</t>
  </si>
  <si>
    <t>End a reservation</t>
  </si>
  <si>
    <t xml:space="preserve">website &amp; mobile
Functional database, server, client, company, employee account, group, vehicle, and the employee's active reservation
</t>
  </si>
  <si>
    <t xml:space="preserve">1. Click on the "Return vehicle" button
2. Select the parking spot or a specific address option
3. Enter the vehicle location information
4. Select the incident level (optional)
5. Add an incident description (optional)
6. Click on the "Finalize return" button
</t>
  </si>
  <si>
    <t>The booking can be ended and vehicle returned</t>
  </si>
  <si>
    <t>Report incident</t>
  </si>
  <si>
    <t>Allow an employee who has booked a vehicle to report an incident (problem with the vehicle)</t>
  </si>
  <si>
    <t>website &amp; mobile
Functional database, server, client, company, employee account, group, vehicle, and the employee's active reservation</t>
  </si>
  <si>
    <t>1. Click on the "Return vehicle" button
2. Select the parking spot or a specific address option
3. Enter the vehicle location information
4. Select the incident level
5. Add an incident description
6. Click on the "Finalize return" button</t>
  </si>
  <si>
    <t>The incident is reported to the admins and shows up on the app dashboard</t>
  </si>
  <si>
    <t>Monitor reservations</t>
  </si>
  <si>
    <t>Monitor reservation activity in real time</t>
  </si>
  <si>
    <t>website &amp; mobile
Functional database, server, client, company, employee account, group, vehicle, and reservation</t>
  </si>
  <si>
    <t>1. Go to the Booking page
2. Filter the reservation that you want to see
3. Click on it
4. See the information
Alternatively, go to the dashboard page and you have a global vision of all the reservations</t>
  </si>
  <si>
    <t>The admin can see the information of the reservation</t>
  </si>
  <si>
    <t>View own current, past and future reservation</t>
  </si>
  <si>
    <t>The employee can see his own current, past and future reservation</t>
  </si>
  <si>
    <t>website &amp; mobile
Functional database, server, client, company and employee account, group, vehicle, and multiple reservations associated with the selected employee</t>
  </si>
  <si>
    <t>1. Log in as an employee
2. Go to the dashboard page
3. Look at the current, future, and past reservations section</t>
  </si>
  <si>
    <t>The employee can see the current, past and present reservation</t>
  </si>
  <si>
    <t>Modify own reservation</t>
  </si>
  <si>
    <t>The employee can modify his own reservation</t>
  </si>
  <si>
    <t>website &amp; mobile
Functional database, server, client, company and employee account, group, vehicle, and a futur reservations associated with the selected employee</t>
  </si>
  <si>
    <t>1. Log in as an employee
2. Go to the booking page
2. Filter on reservation that you want to see
3. Click on the relevant reservation
4. Update the reservation date
5. Click on save</t>
  </si>
  <si>
    <t>The reservation date is updated</t>
  </si>
  <si>
    <t>Cancel own reservation</t>
  </si>
  <si>
    <t xml:space="preserve">The employee can cancel his own reservation
</t>
  </si>
  <si>
    <t xml:space="preserve">website &amp; mobile
Functional database, server, client, company and employee account, group, vehicle, and a futur  or current reservations associated with the selected employee
</t>
  </si>
  <si>
    <r>
      <rPr>
        <sz val="12"/>
        <color rgb="FF434343"/>
        <rFont val="Arial"/>
      </rPr>
      <t xml:space="preserve">Current reservation:
1. Log in as an employee
2. Go to the dashboard page
3. Look at the current reservations section
4. Click on "Return vehicle" button
5. Do the </t>
    </r>
    <r>
      <rPr>
        <u/>
        <sz val="12"/>
        <color rgb="FF1155CC"/>
        <rFont val="Arial"/>
      </rPr>
      <t>F38</t>
    </r>
    <r>
      <rPr>
        <sz val="12"/>
        <color rgb="FF434343"/>
        <rFont val="Arial"/>
      </rPr>
      <t xml:space="preserve">  step
Future reservation:
1. Log in as an employee
2. Go to the dashboard page
3. Look at the futur reservations section
4. Click on "Cancel reservation" button</t>
    </r>
  </si>
  <si>
    <t>The reservation is canceled, and if it was current, it is displayed in past reservations; if it was future, it disappears.</t>
  </si>
  <si>
    <t>Cancel any reservation</t>
  </si>
  <si>
    <t>The admin, owner can cancel any reservation</t>
  </si>
  <si>
    <t xml:space="preserve">website only
Functional database, server, client, owner and employee account, group, vehicle, and a futur  or current reservations associated with the selected employee
</t>
  </si>
  <si>
    <t>1. Go on the booking page
2. Click on the relevant reservation
3. Click on the "Cancel" button</t>
  </si>
  <si>
    <t>The reservation is canceled</t>
  </si>
  <si>
    <t>Modify any reservation</t>
  </si>
  <si>
    <t>1. Go to the booking page
2. Click on the relevant reservation
3. Update the reservation date
4. Click on save</t>
  </si>
  <si>
    <t>The reservation is updated</t>
  </si>
  <si>
    <t>View vehicle statistics</t>
  </si>
  <si>
    <t>View the vehicle detailed statistic</t>
  </si>
  <si>
    <t>website only
Functional database, server, client, vehicle models, bookings creation, vehicle creation</t>
  </si>
  <si>
    <t>1. Go to the "statistics" section (admin page)
2. Select the vehicle in the filter</t>
  </si>
  <si>
    <t>You can view all the relevant stats</t>
  </si>
  <si>
    <t>View employee statistics</t>
  </si>
  <si>
    <t>View the employee detailed statistic</t>
  </si>
  <si>
    <t>website only
Functional database, server, client, vehicle and employees models, bookings creation, employee creation</t>
  </si>
  <si>
    <t>1. Go to the "statistics" section (admin page)
2. Select the user in the filter</t>
  </si>
  <si>
    <t>View group statistics</t>
  </si>
  <si>
    <t>Filter the statistics data with a group</t>
  </si>
  <si>
    <t>website only
Functional database, server, client, vehicle and employees models, bookings creation, groups creation</t>
  </si>
  <si>
    <t>1. Go to the "statistics" section (admin page)
2. Select the group in the filter</t>
  </si>
  <si>
    <t>Append a gas ticket</t>
  </si>
  <si>
    <t>Append a gas ticket upon returning the vehicle</t>
  </si>
  <si>
    <t xml:space="preserve">website &amp; mobile
Functional database, server, client, owner and employee account, group, vehicle, and a futur  or current reservations associated with the selected employee, Image management and storage, gas ticket database model
</t>
  </si>
  <si>
    <t>1. Go to the current booking
2. Select "return vehicle"
3. Scroll to the gas ticket section and select "Add a gas ticket"
4. Take a picture and confirm</t>
  </si>
  <si>
    <t>The gas ticket is attached to the booking data</t>
  </si>
  <si>
    <t>View gas tickets</t>
  </si>
  <si>
    <t>View every gas tickets reported by your managed employees</t>
  </si>
  <si>
    <t>1. Go to the "Gas tickets" section (admin view)
2. Select the gas ticket you want to view its relevant data</t>
  </si>
  <si>
    <t>You can see all the reported gas tickets and review their respective data</t>
  </si>
  <si>
    <t>Setup notification</t>
  </si>
  <si>
    <t>Permit the user to setup notification on the app</t>
  </si>
  <si>
    <t>website &amp; mobile
Functional database, server, client, owner account and a event</t>
  </si>
  <si>
    <t>1. Go to the settings page
2. Move to the notification section
3. Selecte the notification that you want</t>
  </si>
  <si>
    <t>The user receive a notification when a event is trigger</t>
  </si>
  <si>
    <t>Set a domain filters for invite</t>
  </si>
  <si>
    <t>Let an owner set a domain name filters for email addresses to prevent external invites</t>
  </si>
  <si>
    <t>website only
Functional database, server, client, owner and user invites, settings system</t>
  </si>
  <si>
    <t>1. Go to the user settings page (as the owner account)
2. Select the organization settings page 
3. Set the domain filter in the corresponding section
4. Click on the "save" button</t>
  </si>
  <si>
    <t>The domain name filter is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</si>
</sst>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2"/>
      <color theme="1"/>
      <name val="Aptos Narrow"/>
      <scheme val="minor"/>
    </font>
    <font>
      <sz val="12"/>
      <color theme="1"/>
      <name val="Arial"/>
    </font>
    <font>
      <b/>
      <sz val="12"/>
      <color rgb="FFFFFFFF"/>
      <name val="Arial"/>
    </font>
    <font>
      <sz val="12"/>
      <color theme="1"/>
      <name val="Roboto"/>
    </font>
    <font>
      <sz val="12"/>
      <color rgb="FFFFFFFF"/>
      <name val="Arial"/>
    </font>
    <font>
      <sz val="12"/>
      <color rgb="FF434343"/>
      <name val="Roboto"/>
    </font>
    <font>
      <u/>
      <sz val="12"/>
      <color rgb="FF434343"/>
      <name val="Roboto"/>
    </font>
    <font>
      <b/>
      <sz val="12"/>
      <color theme="1"/>
      <name val="Arial"/>
    </font>
    <font>
      <sz val="12"/>
      <color rgb="FF434343"/>
      <name val="Arial"/>
    </font>
    <font>
      <u/>
      <sz val="12"/>
      <color rgb="FF434343"/>
      <name val="Arial"/>
    </font>
    <font>
      <b/>
      <sz val="12"/>
      <color theme="1"/>
      <name val="Aptos Narrow"/>
    </font>
    <font>
      <sz val="12"/>
      <color theme="1"/>
      <name val="Aptos Narrow"/>
      <scheme val="minor"/>
    </font>
    <font>
      <u/>
      <sz val="12"/>
      <color rgb="FF1155CC"/>
      <name val="Arial"/>
    </font>
  </fonts>
  <fills count="4">
    <fill>
      <patternFill patternType="none"/>
    </fill>
    <fill>
      <patternFill patternType="gray125"/>
    </fill>
    <fill>
      <patternFill patternType="solid">
        <fgColor rgb="FFFFFFFF"/>
        <bgColor rgb="FFFFFFFF"/>
      </patternFill>
    </fill>
    <fill>
      <patternFill patternType="solid">
        <fgColor rgb="FFF6F8F9"/>
        <bgColor rgb="FFF6F8F9"/>
      </patternFill>
    </fill>
  </fills>
  <borders count="11">
    <border>
      <left/>
      <right/>
      <top/>
      <bottom/>
      <diagonal/>
    </border>
    <border>
      <left style="thin">
        <color rgb="FF442F65"/>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442F65"/>
      </right>
      <top style="thin">
        <color rgb="FFF6F8F9"/>
      </top>
      <bottom style="thin">
        <color rgb="FFF6F8F9"/>
      </bottom>
      <diagonal/>
    </border>
    <border>
      <left style="thin">
        <color rgb="FFFFFFFF"/>
      </left>
      <right style="thin">
        <color rgb="FFFFFFFF"/>
      </right>
      <top style="thin">
        <color rgb="FFFFFFFF"/>
      </top>
      <bottom style="thin">
        <color rgb="FF442F65"/>
      </bottom>
      <diagonal/>
    </border>
    <border>
      <left style="thin">
        <color rgb="FFF6F8F9"/>
      </left>
      <right style="thin">
        <color rgb="FFF6F8F9"/>
      </right>
      <top style="thin">
        <color rgb="FFF6F8F9"/>
      </top>
      <bottom style="thin">
        <color rgb="FFB8500A"/>
      </bottom>
      <diagonal/>
    </border>
  </borders>
  <cellStyleXfs count="1">
    <xf numFmtId="0" fontId="0" fillId="0" borderId="0"/>
  </cellStyleXfs>
  <cellXfs count="28">
    <xf numFmtId="0" fontId="0" fillId="0" borderId="0" xfId="0"/>
    <xf numFmtId="0" fontId="1" fillId="0" borderId="0" xfId="0" applyFont="1"/>
    <xf numFmtId="0" fontId="2" fillId="0" borderId="0" xfId="0" applyFont="1" applyAlignment="1">
      <alignment horizontal="left" vertical="center"/>
    </xf>
    <xf numFmtId="0" fontId="3" fillId="0" borderId="0" xfId="0" applyFont="1" applyAlignment="1">
      <alignment horizontal="left" vertical="center" wrapText="1"/>
    </xf>
    <xf numFmtId="0" fontId="4" fillId="0" borderId="0" xfId="0" applyFont="1" applyAlignment="1">
      <alignment horizontal="left" vertical="center"/>
    </xf>
    <xf numFmtId="0" fontId="5" fillId="2" borderId="1" xfId="0" applyFont="1" applyFill="1" applyBorder="1" applyAlignment="1">
      <alignment vertical="center" wrapText="1"/>
    </xf>
    <xf numFmtId="0" fontId="6" fillId="2" borderId="2" xfId="0" applyFont="1" applyFill="1" applyBorder="1" applyAlignment="1">
      <alignment vertical="center" wrapText="1"/>
    </xf>
    <xf numFmtId="0" fontId="7" fillId="0" borderId="0" xfId="0" applyFont="1" applyAlignment="1">
      <alignment vertical="center"/>
    </xf>
    <xf numFmtId="0" fontId="3" fillId="0" borderId="0" xfId="0" applyFont="1" applyAlignment="1">
      <alignment horizontal="center" vertical="center" wrapText="1"/>
    </xf>
    <xf numFmtId="0" fontId="1" fillId="0" borderId="0" xfId="0" applyFont="1" applyAlignment="1">
      <alignment vertical="center"/>
    </xf>
    <xf numFmtId="0" fontId="5" fillId="2" borderId="3" xfId="0" applyFont="1" applyFill="1" applyBorder="1" applyAlignment="1">
      <alignment horizontal="center" vertical="center" wrapText="1"/>
    </xf>
    <xf numFmtId="0" fontId="8" fillId="2" borderId="4" xfId="0" applyFont="1" applyFill="1" applyBorder="1" applyAlignment="1">
      <alignment vertical="center" wrapText="1"/>
    </xf>
    <xf numFmtId="0" fontId="1" fillId="2" borderId="4" xfId="0" applyFont="1" applyFill="1" applyBorder="1" applyAlignment="1">
      <alignment vertical="center"/>
    </xf>
    <xf numFmtId="0" fontId="1" fillId="2" borderId="5" xfId="0" applyFont="1" applyFill="1" applyBorder="1" applyAlignment="1">
      <alignment vertical="center"/>
    </xf>
    <xf numFmtId="0" fontId="8" fillId="2" borderId="4" xfId="0" applyFont="1" applyFill="1" applyBorder="1" applyAlignment="1">
      <alignment vertical="center"/>
    </xf>
    <xf numFmtId="0" fontId="5" fillId="3" borderId="6" xfId="0" applyFont="1" applyFill="1" applyBorder="1" applyAlignment="1">
      <alignment horizontal="center" vertical="center" wrapText="1"/>
    </xf>
    <xf numFmtId="0" fontId="1" fillId="3" borderId="7" xfId="0" applyFont="1" applyFill="1" applyBorder="1" applyAlignment="1">
      <alignment vertical="center"/>
    </xf>
    <xf numFmtId="0" fontId="1" fillId="3" borderId="8" xfId="0" applyFont="1" applyFill="1" applyBorder="1" applyAlignment="1">
      <alignment vertical="center"/>
    </xf>
    <xf numFmtId="0" fontId="5" fillId="2" borderId="1" xfId="0" applyFont="1" applyFill="1" applyBorder="1" applyAlignment="1">
      <alignment horizontal="center" vertical="center" wrapText="1"/>
    </xf>
    <xf numFmtId="0" fontId="1" fillId="2" borderId="9" xfId="0" applyFont="1" applyFill="1" applyBorder="1" applyAlignment="1">
      <alignment vertical="center"/>
    </xf>
    <xf numFmtId="0" fontId="8" fillId="3" borderId="7" xfId="0" applyFont="1" applyFill="1" applyBorder="1" applyAlignment="1">
      <alignment vertical="center" wrapText="1"/>
    </xf>
    <xf numFmtId="0" fontId="1" fillId="2" borderId="2" xfId="0" applyFont="1" applyFill="1" applyBorder="1" applyAlignment="1">
      <alignment vertical="center"/>
    </xf>
    <xf numFmtId="0" fontId="8" fillId="3" borderId="7" xfId="0" applyFont="1" applyFill="1" applyBorder="1" applyAlignment="1">
      <alignment vertical="center"/>
    </xf>
    <xf numFmtId="0" fontId="9" fillId="3" borderId="7" xfId="0" applyFont="1" applyFill="1" applyBorder="1" applyAlignment="1">
      <alignment vertical="center"/>
    </xf>
    <xf numFmtId="0" fontId="8" fillId="3" borderId="10" xfId="0" applyFont="1" applyFill="1" applyBorder="1" applyAlignment="1">
      <alignment vertical="center" wrapText="1"/>
    </xf>
    <xf numFmtId="0" fontId="8" fillId="3" borderId="10" xfId="0" applyFont="1" applyFill="1" applyBorder="1" applyAlignment="1">
      <alignment vertical="center"/>
    </xf>
    <xf numFmtId="0" fontId="10" fillId="0" borderId="0" xfId="0" applyFont="1"/>
    <xf numFmtId="0" fontId="11" fillId="0" borderId="0" xfId="0" applyFont="1"/>
  </cellXfs>
  <cellStyles count="1">
    <cellStyle name="Normal" xfId="0" builtinId="0"/>
  </cellStyles>
  <dxfs count="21">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7F340D"/>
      </font>
      <fill>
        <patternFill patternType="solid">
          <fgColor rgb="FFF6C6AC"/>
          <bgColor rgb="FFF6C6AC"/>
        </patternFill>
      </fill>
    </dxf>
    <dxf>
      <font>
        <color rgb="FF153D64"/>
      </font>
      <fill>
        <patternFill patternType="solid">
          <fgColor rgb="FFA6C9EB"/>
          <bgColor rgb="FFA6C9EB"/>
        </patternFill>
      </fill>
    </dxf>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theme="0"/>
          <bgColor theme="0"/>
        </patternFill>
      </fill>
    </dxf>
    <dxf>
      <fill>
        <patternFill patternType="solid">
          <fgColor rgb="FFCAEDFB"/>
          <bgColor rgb="FFCAEDFB"/>
        </patternFill>
      </fill>
    </dxf>
    <dxf>
      <fill>
        <patternFill patternType="solid">
          <fgColor theme="7"/>
          <bgColor theme="7"/>
        </patternFill>
      </fill>
    </dxf>
    <dxf>
      <border>
        <left style="thin">
          <color theme="7"/>
        </left>
        <right style="thin">
          <color theme="7"/>
        </right>
        <top style="thin">
          <color theme="7"/>
        </top>
        <bottom style="thin">
          <color theme="7"/>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3">
    <tableStyle name="Info &amp; Access-style" pivot="0" count="4" xr9:uid="{00000000-0011-0000-FFFF-FFFF00000000}">
      <tableStyleElement type="wholeTable" size="0" dxfId="20"/>
      <tableStyleElement type="headerRow" dxfId="19"/>
      <tableStyleElement type="firstRowStripe" dxfId="18"/>
      <tableStyleElement type="secondRowStripe" dxfId="17"/>
    </tableStyle>
    <tableStyle name="Test Plan-style" pivot="0" count="4" xr9:uid="{00000000-0011-0000-FFFF-FFFF01000000}">
      <tableStyleElement type="wholeTable" size="0" dxfId="16"/>
      <tableStyleElement type="headerRow" dxfId="15"/>
      <tableStyleElement type="firstRowStripe" dxfId="14"/>
      <tableStyleElement type="secondRowStripe" dxfId="13"/>
    </tableStyle>
    <tableStyle name="Info &amp; Access-style 2" pivot="0" count="4" xr9:uid="{00000000-0011-0000-FFFF-FFFF02000000}">
      <tableStyleElement type="wholeTable" size="0" dxfId="12"/>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openxmlformats.org/officeDocument/2006/relationships/calcChain" Target="calcChain.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au2" displayName="Tableau2" ref="A2:B3">
  <tableColumns count="2">
    <tableColumn id="1" xr3:uid="{00000000-0010-0000-0000-000001000000}" name="Acces Point"/>
    <tableColumn id="2" xr3:uid="{00000000-0010-0000-0000-000002000000}" name="URL"/>
  </tableColumns>
  <tableStyleInfo name="Info &amp; Acces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au1" displayName="Tableau1" ref="A5:C8">
  <tableColumns count="3">
    <tableColumn id="1" xr3:uid="{00000000-0010-0000-0100-000001000000}" name="Account type"/>
    <tableColumn id="2" xr3:uid="{00000000-0010-0000-0100-000002000000}" name="Identifier"/>
    <tableColumn id="3" xr3:uid="{00000000-0010-0000-0100-000003000000}" name="Password"/>
  </tableColumns>
  <tableStyleInfo name="Info &amp; Acces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au7" displayName="Tableau7" ref="A1:I53">
  <tableColumns count="9">
    <tableColumn id="1" xr3:uid="{00000000-0010-0000-0200-000001000000}" name="Feature ID"/>
    <tableColumn id="2" xr3:uid="{00000000-0010-0000-0200-000002000000}" name="Feature Name"/>
    <tableColumn id="3" xr3:uid="{00000000-0010-0000-0200-000003000000}" name="Category"/>
    <tableColumn id="4" xr3:uid="{00000000-0010-0000-0200-000004000000}" name="Objective"/>
    <tableColumn id="5" xr3:uid="{00000000-0010-0000-0200-000005000000}" name="Prerequisites"/>
    <tableColumn id="6" xr3:uid="{00000000-0010-0000-0200-000006000000}" name="Steps"/>
    <tableColumn id="7" xr3:uid="{00000000-0010-0000-0200-000007000000}" name="Expected results"/>
    <tableColumn id="8" xr3:uid="{00000000-0010-0000-0200-000008000000}" name="Developpement status"/>
    <tableColumn id="9" xr3:uid="{00000000-0010-0000-0200-000009000000}" name="Feedback"/>
  </tableColumns>
  <tableStyleInfo name="Test Pla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hyperlink" Target="https://sumfleet.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86"/>
  <sheetViews>
    <sheetView tabSelected="1" workbookViewId="0"/>
  </sheetViews>
  <sheetFormatPr defaultColWidth="11.25" defaultRowHeight="15" customHeight="1"/>
  <cols>
    <col min="1" max="1" width="24.375" customWidth="1"/>
    <col min="2" max="2" width="54.5" customWidth="1"/>
    <col min="3" max="3" width="15.625" customWidth="1"/>
    <col min="4" max="26" width="10.5" customWidth="1"/>
  </cols>
  <sheetData>
    <row r="1" spans="1:3" ht="15.75" customHeight="1">
      <c r="A1" s="1"/>
      <c r="B1" s="1"/>
      <c r="C1" s="1"/>
    </row>
    <row r="2" spans="1:3" ht="15.75" customHeight="1">
      <c r="A2" s="3" t="s">
        <v>0</v>
      </c>
      <c r="B2" s="3" t="s">
        <v>1</v>
      </c>
      <c r="C2" s="1"/>
    </row>
    <row r="3" spans="1:3" ht="15.75" customHeight="1">
      <c r="A3" s="5" t="s">
        <v>2</v>
      </c>
      <c r="B3" s="6" t="s">
        <v>3</v>
      </c>
      <c r="C3" s="1"/>
    </row>
    <row r="4" spans="1:3" ht="15.75" customHeight="1">
      <c r="A4" s="1"/>
      <c r="B4" s="1"/>
      <c r="C4" s="1"/>
    </row>
    <row r="5" spans="1:3" ht="15.75" customHeight="1">
      <c r="A5" s="8" t="s">
        <v>4</v>
      </c>
      <c r="B5" s="3" t="s">
        <v>5</v>
      </c>
      <c r="C5" s="3" t="s">
        <v>6</v>
      </c>
    </row>
    <row r="6" spans="1:3" ht="15.75" customHeight="1">
      <c r="A6" s="10" t="s">
        <v>7</v>
      </c>
      <c r="B6" s="12" t="s">
        <v>8</v>
      </c>
      <c r="C6" s="13" t="s">
        <v>9</v>
      </c>
    </row>
    <row r="7" spans="1:3" ht="15.75" customHeight="1">
      <c r="A7" s="15" t="s">
        <v>10</v>
      </c>
      <c r="B7" s="16" t="s">
        <v>11</v>
      </c>
      <c r="C7" s="17" t="s">
        <v>9</v>
      </c>
    </row>
    <row r="8" spans="1:3" ht="15.75" customHeight="1">
      <c r="A8" s="18" t="s">
        <v>12</v>
      </c>
      <c r="B8" s="19" t="s">
        <v>13</v>
      </c>
      <c r="C8" s="21" t="s">
        <v>9</v>
      </c>
    </row>
    <row r="9" spans="1:3" ht="15.75" customHeight="1"/>
    <row r="10" spans="1:3" ht="15.75" customHeight="1"/>
    <row r="11" spans="1:3" ht="15.75" customHeight="1"/>
    <row r="12" spans="1:3" ht="15.75" customHeight="1"/>
    <row r="13" spans="1:3" ht="15.75" customHeight="1"/>
    <row r="14" spans="1:3" ht="15.75" customHeight="1"/>
    <row r="15" spans="1:3" ht="15.75" customHeight="1"/>
    <row r="16" spans="1: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hyperlinks>
    <hyperlink ref="B3" r:id="rId1" xr:uid="{00000000-0004-0000-0000-000000000000}"/>
  </hyperlinks>
  <pageMargins left="0.7" right="0.7" top="0.75" bottom="0.75" header="0" footer="0"/>
  <pageSetup orientation="landscape"/>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xSplit="2" ySplit="1" topLeftCell="C2" activePane="bottomRight" state="frozen"/>
      <selection pane="bottomRight" activeCell="C2" sqref="C2"/>
      <selection pane="bottomLeft" activeCell="A2" sqref="A2"/>
      <selection pane="topRight" activeCell="C1" sqref="C1"/>
    </sheetView>
  </sheetViews>
  <sheetFormatPr defaultColWidth="11.25" defaultRowHeight="15" customHeight="1"/>
  <cols>
    <col min="1" max="1" width="12.125" style="26" customWidth="1"/>
    <col min="2" max="2" width="39.5" style="26" customWidth="1"/>
    <col min="3" max="3" width="18.5" style="27" customWidth="1"/>
    <col min="4" max="4" width="34.375" customWidth="1"/>
    <col min="5" max="5" width="29.5" customWidth="1"/>
    <col min="6" max="6" width="79.5" customWidth="1"/>
    <col min="7" max="7" width="61.125" customWidth="1"/>
    <col min="8" max="8" width="22.5" style="27" customWidth="1"/>
    <col min="9" max="9" width="36" customWidth="1"/>
    <col min="10" max="26" width="10.5" customWidth="1"/>
  </cols>
  <sheetData>
    <row r="1" spans="1:9" ht="15.75" customHeight="1">
      <c r="A1" s="2" t="s">
        <v>14</v>
      </c>
      <c r="B1" s="2" t="s">
        <v>15</v>
      </c>
      <c r="C1" s="4" t="s">
        <v>16</v>
      </c>
      <c r="D1" s="4" t="s">
        <v>17</v>
      </c>
      <c r="E1" s="4" t="s">
        <v>18</v>
      </c>
      <c r="F1" s="4" t="s">
        <v>19</v>
      </c>
      <c r="G1" s="4" t="s">
        <v>20</v>
      </c>
      <c r="H1" s="4" t="s">
        <v>21</v>
      </c>
      <c r="I1" s="4" t="s">
        <v>22</v>
      </c>
    </row>
    <row r="2" spans="1:9" ht="15.75" customHeight="1">
      <c r="A2" s="7" t="str">
        <f t="shared" ref="A2:A53" si="0">"F" &amp; ROW()-1</f>
        <v>F1</v>
      </c>
      <c r="B2" s="7" t="s">
        <v>23</v>
      </c>
      <c r="C2" s="9" t="s">
        <v>24</v>
      </c>
      <c r="D2" s="11" t="s">
        <v>25</v>
      </c>
      <c r="E2" s="11" t="s">
        <v>26</v>
      </c>
      <c r="F2" s="14" t="s">
        <v>27</v>
      </c>
      <c r="G2" s="11" t="s">
        <v>28</v>
      </c>
      <c r="H2" s="9" t="s">
        <v>29</v>
      </c>
      <c r="I2" s="9"/>
    </row>
    <row r="3" spans="1:9" ht="15.75" customHeight="1">
      <c r="A3" s="7" t="str">
        <f t="shared" si="0"/>
        <v>F2</v>
      </c>
      <c r="B3" s="7" t="s">
        <v>30</v>
      </c>
      <c r="C3" s="9" t="s">
        <v>24</v>
      </c>
      <c r="D3" s="20" t="s">
        <v>31</v>
      </c>
      <c r="E3" s="20" t="s">
        <v>32</v>
      </c>
      <c r="F3" s="22" t="s">
        <v>33</v>
      </c>
      <c r="G3" s="20" t="s">
        <v>34</v>
      </c>
      <c r="H3" s="9" t="s">
        <v>29</v>
      </c>
      <c r="I3" s="9"/>
    </row>
    <row r="4" spans="1:9" ht="15.75" customHeight="1">
      <c r="A4" s="7" t="str">
        <f t="shared" si="0"/>
        <v>F3</v>
      </c>
      <c r="B4" s="7" t="s">
        <v>35</v>
      </c>
      <c r="C4" s="9" t="s">
        <v>24</v>
      </c>
      <c r="D4" s="11" t="s">
        <v>36</v>
      </c>
      <c r="E4" s="11" t="s">
        <v>37</v>
      </c>
      <c r="F4" s="14" t="s">
        <v>38</v>
      </c>
      <c r="G4" s="11" t="s">
        <v>39</v>
      </c>
      <c r="H4" s="9" t="s">
        <v>29</v>
      </c>
      <c r="I4" s="9"/>
    </row>
    <row r="5" spans="1:9" ht="15.75" customHeight="1">
      <c r="A5" s="7" t="str">
        <f t="shared" si="0"/>
        <v>F4</v>
      </c>
      <c r="B5" s="7" t="s">
        <v>40</v>
      </c>
      <c r="C5" s="9" t="s">
        <v>24</v>
      </c>
      <c r="D5" s="20" t="s">
        <v>41</v>
      </c>
      <c r="E5" s="20" t="s">
        <v>42</v>
      </c>
      <c r="F5" s="22" t="s">
        <v>43</v>
      </c>
      <c r="G5" s="20" t="s">
        <v>44</v>
      </c>
      <c r="H5" s="9" t="s">
        <v>29</v>
      </c>
      <c r="I5" s="9"/>
    </row>
    <row r="6" spans="1:9" ht="15.75" customHeight="1">
      <c r="A6" s="7" t="str">
        <f t="shared" si="0"/>
        <v>F5</v>
      </c>
      <c r="B6" s="7" t="s">
        <v>45</v>
      </c>
      <c r="C6" s="9" t="s">
        <v>24</v>
      </c>
      <c r="D6" s="20" t="s">
        <v>46</v>
      </c>
      <c r="E6" s="20" t="s">
        <v>47</v>
      </c>
      <c r="F6" s="22" t="s">
        <v>48</v>
      </c>
      <c r="G6" s="20" t="s">
        <v>49</v>
      </c>
      <c r="H6" s="9" t="s">
        <v>29</v>
      </c>
      <c r="I6" s="9"/>
    </row>
    <row r="7" spans="1:9" ht="15.75" customHeight="1">
      <c r="A7" s="7" t="str">
        <f t="shared" si="0"/>
        <v>F6</v>
      </c>
      <c r="B7" s="7" t="s">
        <v>50</v>
      </c>
      <c r="C7" s="9" t="s">
        <v>24</v>
      </c>
      <c r="D7" s="11" t="s">
        <v>51</v>
      </c>
      <c r="E7" s="11" t="s">
        <v>52</v>
      </c>
      <c r="F7" s="14" t="s">
        <v>53</v>
      </c>
      <c r="G7" s="11" t="s">
        <v>54</v>
      </c>
      <c r="H7" s="9" t="s">
        <v>29</v>
      </c>
      <c r="I7" s="9"/>
    </row>
    <row r="8" spans="1:9" ht="15.75" customHeight="1">
      <c r="A8" s="7" t="str">
        <f t="shared" si="0"/>
        <v>F7</v>
      </c>
      <c r="B8" s="7" t="s">
        <v>55</v>
      </c>
      <c r="C8" s="9" t="s">
        <v>24</v>
      </c>
      <c r="D8" s="20" t="s">
        <v>56</v>
      </c>
      <c r="E8" s="20" t="s">
        <v>52</v>
      </c>
      <c r="F8" s="22" t="s">
        <v>57</v>
      </c>
      <c r="G8" s="20" t="s">
        <v>58</v>
      </c>
      <c r="H8" s="9" t="s">
        <v>29</v>
      </c>
      <c r="I8" s="9"/>
    </row>
    <row r="9" spans="1:9" ht="15.75" customHeight="1">
      <c r="A9" s="7" t="str">
        <f t="shared" si="0"/>
        <v>F8</v>
      </c>
      <c r="B9" s="7" t="s">
        <v>59</v>
      </c>
      <c r="C9" s="9" t="s">
        <v>60</v>
      </c>
      <c r="D9" s="11" t="s">
        <v>61</v>
      </c>
      <c r="E9" s="11" t="s">
        <v>62</v>
      </c>
      <c r="F9" s="14" t="s">
        <v>63</v>
      </c>
      <c r="G9" s="11" t="s">
        <v>64</v>
      </c>
      <c r="H9" s="9" t="s">
        <v>65</v>
      </c>
      <c r="I9" s="9"/>
    </row>
    <row r="10" spans="1:9" ht="15.75" customHeight="1">
      <c r="A10" s="7" t="str">
        <f t="shared" si="0"/>
        <v>F9</v>
      </c>
      <c r="B10" s="7" t="s">
        <v>66</v>
      </c>
      <c r="C10" s="9" t="s">
        <v>60</v>
      </c>
      <c r="D10" s="20" t="s">
        <v>67</v>
      </c>
      <c r="E10" s="20" t="s">
        <v>68</v>
      </c>
      <c r="F10" s="22" t="s">
        <v>69</v>
      </c>
      <c r="G10" s="20" t="s">
        <v>70</v>
      </c>
      <c r="H10" s="9" t="s">
        <v>65</v>
      </c>
      <c r="I10" s="9"/>
    </row>
    <row r="11" spans="1:9" ht="15.75" customHeight="1">
      <c r="A11" s="7" t="str">
        <f t="shared" si="0"/>
        <v>F10</v>
      </c>
      <c r="B11" s="7" t="s">
        <v>71</v>
      </c>
      <c r="C11" s="9" t="s">
        <v>60</v>
      </c>
      <c r="D11" s="20" t="s">
        <v>72</v>
      </c>
      <c r="E11" s="20" t="s">
        <v>52</v>
      </c>
      <c r="F11" s="22" t="s">
        <v>73</v>
      </c>
      <c r="G11" s="20" t="s">
        <v>74</v>
      </c>
      <c r="H11" s="9" t="s">
        <v>65</v>
      </c>
      <c r="I11" s="9"/>
    </row>
    <row r="12" spans="1:9" ht="15.75" customHeight="1">
      <c r="A12" s="7" t="str">
        <f t="shared" si="0"/>
        <v>F11</v>
      </c>
      <c r="B12" s="7" t="s">
        <v>75</v>
      </c>
      <c r="C12" s="9" t="s">
        <v>60</v>
      </c>
      <c r="D12" s="11" t="s">
        <v>76</v>
      </c>
      <c r="E12" s="11" t="s">
        <v>77</v>
      </c>
      <c r="F12" s="14" t="s">
        <v>78</v>
      </c>
      <c r="G12" s="11" t="s">
        <v>79</v>
      </c>
      <c r="H12" s="9" t="s">
        <v>65</v>
      </c>
      <c r="I12" s="9"/>
    </row>
    <row r="13" spans="1:9" ht="15.75" customHeight="1">
      <c r="A13" s="7" t="str">
        <f t="shared" si="0"/>
        <v>F12</v>
      </c>
      <c r="B13" s="7" t="s">
        <v>80</v>
      </c>
      <c r="C13" s="9" t="s">
        <v>60</v>
      </c>
      <c r="D13" s="20" t="s">
        <v>81</v>
      </c>
      <c r="E13" s="20" t="s">
        <v>82</v>
      </c>
      <c r="F13" s="22" t="s">
        <v>83</v>
      </c>
      <c r="G13" s="20" t="s">
        <v>84</v>
      </c>
      <c r="H13" s="9" t="s">
        <v>65</v>
      </c>
      <c r="I13" s="9"/>
    </row>
    <row r="14" spans="1:9" ht="15.75" customHeight="1">
      <c r="A14" s="7" t="str">
        <f t="shared" si="0"/>
        <v>F13</v>
      </c>
      <c r="B14" s="7" t="s">
        <v>85</v>
      </c>
      <c r="C14" s="9" t="s">
        <v>24</v>
      </c>
      <c r="D14" s="20" t="s">
        <v>86</v>
      </c>
      <c r="E14" s="20" t="s">
        <v>87</v>
      </c>
      <c r="F14" s="22" t="s">
        <v>88</v>
      </c>
      <c r="G14" s="20" t="s">
        <v>89</v>
      </c>
      <c r="H14" s="9" t="s">
        <v>29</v>
      </c>
      <c r="I14" s="9"/>
    </row>
    <row r="15" spans="1:9" ht="15.75" customHeight="1">
      <c r="A15" s="7" t="str">
        <f t="shared" si="0"/>
        <v>F14</v>
      </c>
      <c r="B15" s="7" t="s">
        <v>90</v>
      </c>
      <c r="C15" s="9" t="s">
        <v>60</v>
      </c>
      <c r="D15" s="11" t="s">
        <v>91</v>
      </c>
      <c r="E15" s="11" t="s">
        <v>92</v>
      </c>
      <c r="F15" s="14" t="s">
        <v>93</v>
      </c>
      <c r="G15" s="11" t="s">
        <v>94</v>
      </c>
      <c r="H15" s="9" t="s">
        <v>65</v>
      </c>
      <c r="I15" s="9"/>
    </row>
    <row r="16" spans="1:9" ht="15.75" customHeight="1">
      <c r="A16" s="7" t="str">
        <f t="shared" si="0"/>
        <v>F15</v>
      </c>
      <c r="B16" s="7" t="s">
        <v>95</v>
      </c>
      <c r="C16" s="9" t="s">
        <v>60</v>
      </c>
      <c r="D16" s="11" t="s">
        <v>96</v>
      </c>
      <c r="E16" s="11" t="s">
        <v>68</v>
      </c>
      <c r="F16" s="14" t="s">
        <v>97</v>
      </c>
      <c r="G16" s="11" t="s">
        <v>98</v>
      </c>
      <c r="H16" s="9" t="s">
        <v>65</v>
      </c>
      <c r="I16" s="9"/>
    </row>
    <row r="17" spans="1:9" ht="15.75" customHeight="1">
      <c r="A17" s="7" t="str">
        <f t="shared" si="0"/>
        <v>F16</v>
      </c>
      <c r="B17" s="7" t="s">
        <v>99</v>
      </c>
      <c r="C17" s="9" t="s">
        <v>24</v>
      </c>
      <c r="D17" s="11" t="s">
        <v>100</v>
      </c>
      <c r="E17" s="11" t="s">
        <v>92</v>
      </c>
      <c r="F17" s="14" t="s">
        <v>101</v>
      </c>
      <c r="G17" s="11" t="s">
        <v>54</v>
      </c>
      <c r="H17" s="9" t="s">
        <v>29</v>
      </c>
      <c r="I17" s="9"/>
    </row>
    <row r="18" spans="1:9" ht="15.75" customHeight="1">
      <c r="A18" s="7" t="str">
        <f t="shared" si="0"/>
        <v>F17</v>
      </c>
      <c r="B18" s="7" t="s">
        <v>102</v>
      </c>
      <c r="C18" s="9" t="s">
        <v>24</v>
      </c>
      <c r="D18" s="20" t="s">
        <v>103</v>
      </c>
      <c r="E18" s="20" t="s">
        <v>92</v>
      </c>
      <c r="F18" s="22" t="s">
        <v>104</v>
      </c>
      <c r="G18" s="20" t="s">
        <v>105</v>
      </c>
      <c r="H18" s="9" t="s">
        <v>29</v>
      </c>
      <c r="I18" s="9"/>
    </row>
    <row r="19" spans="1:9" ht="15.75" customHeight="1">
      <c r="A19" s="7" t="str">
        <f t="shared" si="0"/>
        <v>F18</v>
      </c>
      <c r="B19" s="7" t="s">
        <v>106</v>
      </c>
      <c r="C19" s="9" t="s">
        <v>24</v>
      </c>
      <c r="D19" s="14" t="s">
        <v>107</v>
      </c>
      <c r="E19" s="11" t="s">
        <v>108</v>
      </c>
      <c r="F19" s="14" t="s">
        <v>109</v>
      </c>
      <c r="G19" s="11" t="s">
        <v>110</v>
      </c>
      <c r="H19" s="9" t="s">
        <v>29</v>
      </c>
      <c r="I19" s="9"/>
    </row>
    <row r="20" spans="1:9" ht="15.75" customHeight="1">
      <c r="A20" s="7" t="str">
        <f t="shared" si="0"/>
        <v>F19</v>
      </c>
      <c r="B20" s="7" t="s">
        <v>111</v>
      </c>
      <c r="C20" s="9" t="s">
        <v>60</v>
      </c>
      <c r="D20" s="22" t="s">
        <v>112</v>
      </c>
      <c r="E20" s="20" t="s">
        <v>113</v>
      </c>
      <c r="F20" s="23" t="s">
        <v>114</v>
      </c>
      <c r="G20" s="20" t="s">
        <v>115</v>
      </c>
      <c r="H20" s="9" t="s">
        <v>29</v>
      </c>
      <c r="I20" s="9"/>
    </row>
    <row r="21" spans="1:9" ht="15.75" customHeight="1">
      <c r="A21" s="7" t="str">
        <f t="shared" si="0"/>
        <v>F20</v>
      </c>
      <c r="B21" s="7" t="s">
        <v>116</v>
      </c>
      <c r="C21" s="9" t="s">
        <v>24</v>
      </c>
      <c r="D21" s="11" t="s">
        <v>117</v>
      </c>
      <c r="E21" s="11" t="s">
        <v>118</v>
      </c>
      <c r="F21" s="14" t="s">
        <v>119</v>
      </c>
      <c r="G21" s="11" t="s">
        <v>120</v>
      </c>
      <c r="H21" s="9" t="s">
        <v>29</v>
      </c>
      <c r="I21" s="9"/>
    </row>
    <row r="22" spans="1:9" ht="15.75" customHeight="1">
      <c r="A22" s="7" t="str">
        <f t="shared" si="0"/>
        <v>F21</v>
      </c>
      <c r="B22" s="7" t="s">
        <v>121</v>
      </c>
      <c r="C22" s="9" t="s">
        <v>24</v>
      </c>
      <c r="D22" s="11" t="s">
        <v>122</v>
      </c>
      <c r="E22" s="11" t="s">
        <v>123</v>
      </c>
      <c r="F22" s="14" t="s">
        <v>124</v>
      </c>
      <c r="G22" s="11" t="s">
        <v>125</v>
      </c>
      <c r="H22" s="9" t="s">
        <v>29</v>
      </c>
      <c r="I22" s="9"/>
    </row>
    <row r="23" spans="1:9" ht="15.75" customHeight="1">
      <c r="A23" s="7" t="str">
        <f t="shared" si="0"/>
        <v>F22</v>
      </c>
      <c r="B23" s="7" t="s">
        <v>126</v>
      </c>
      <c r="C23" s="9" t="s">
        <v>24</v>
      </c>
      <c r="D23" s="22" t="s">
        <v>127</v>
      </c>
      <c r="E23" s="20" t="s">
        <v>128</v>
      </c>
      <c r="F23" s="22" t="s">
        <v>129</v>
      </c>
      <c r="G23" s="20" t="s">
        <v>130</v>
      </c>
      <c r="H23" s="9" t="s">
        <v>29</v>
      </c>
      <c r="I23" s="9"/>
    </row>
    <row r="24" spans="1:9" ht="15.75" customHeight="1">
      <c r="A24" s="7" t="str">
        <f t="shared" si="0"/>
        <v>F23</v>
      </c>
      <c r="B24" s="7" t="s">
        <v>131</v>
      </c>
      <c r="C24" s="9" t="s">
        <v>60</v>
      </c>
      <c r="D24" s="20" t="s">
        <v>132</v>
      </c>
      <c r="E24" s="20" t="s">
        <v>133</v>
      </c>
      <c r="F24" s="22" t="s">
        <v>134</v>
      </c>
      <c r="G24" s="20" t="s">
        <v>135</v>
      </c>
      <c r="H24" s="9" t="s">
        <v>65</v>
      </c>
      <c r="I24" s="9"/>
    </row>
    <row r="25" spans="1:9" ht="15.75" customHeight="1">
      <c r="A25" s="7" t="str">
        <f t="shared" si="0"/>
        <v>F24</v>
      </c>
      <c r="B25" s="7" t="s">
        <v>136</v>
      </c>
      <c r="C25" s="9" t="s">
        <v>60</v>
      </c>
      <c r="D25" s="20" t="s">
        <v>137</v>
      </c>
      <c r="E25" s="20" t="s">
        <v>138</v>
      </c>
      <c r="F25" s="22" t="s">
        <v>139</v>
      </c>
      <c r="G25" s="20" t="s">
        <v>140</v>
      </c>
      <c r="H25" s="9" t="s">
        <v>65</v>
      </c>
      <c r="I25" s="9"/>
    </row>
    <row r="26" spans="1:9" ht="15.75" customHeight="1">
      <c r="A26" s="7" t="str">
        <f t="shared" si="0"/>
        <v>F25</v>
      </c>
      <c r="B26" s="7" t="s">
        <v>141</v>
      </c>
      <c r="C26" s="9" t="s">
        <v>24</v>
      </c>
      <c r="D26" s="11" t="s">
        <v>142</v>
      </c>
      <c r="E26" s="11" t="s">
        <v>143</v>
      </c>
      <c r="F26" s="14" t="s">
        <v>144</v>
      </c>
      <c r="G26" s="11" t="s">
        <v>145</v>
      </c>
      <c r="H26" s="9" t="s">
        <v>29</v>
      </c>
      <c r="I26" s="9"/>
    </row>
    <row r="27" spans="1:9" ht="15.75" customHeight="1">
      <c r="A27" s="7" t="str">
        <f t="shared" si="0"/>
        <v>F26</v>
      </c>
      <c r="B27" s="7" t="s">
        <v>146</v>
      </c>
      <c r="C27" s="9" t="s">
        <v>24</v>
      </c>
      <c r="D27" s="20" t="s">
        <v>147</v>
      </c>
      <c r="E27" s="20" t="s">
        <v>148</v>
      </c>
      <c r="F27" s="22" t="s">
        <v>149</v>
      </c>
      <c r="G27" s="20" t="s">
        <v>150</v>
      </c>
      <c r="H27" s="9" t="s">
        <v>29</v>
      </c>
      <c r="I27" s="9"/>
    </row>
    <row r="28" spans="1:9" ht="15.75" customHeight="1">
      <c r="A28" s="7" t="str">
        <f t="shared" si="0"/>
        <v>F27</v>
      </c>
      <c r="B28" s="7" t="s">
        <v>151</v>
      </c>
      <c r="C28" s="9" t="s">
        <v>24</v>
      </c>
      <c r="D28" s="14" t="s">
        <v>152</v>
      </c>
      <c r="E28" s="11" t="s">
        <v>153</v>
      </c>
      <c r="F28" s="14" t="s">
        <v>154</v>
      </c>
      <c r="G28" s="11" t="s">
        <v>155</v>
      </c>
      <c r="H28" s="9" t="s">
        <v>29</v>
      </c>
      <c r="I28" s="9"/>
    </row>
    <row r="29" spans="1:9" ht="15.75" customHeight="1">
      <c r="A29" s="7" t="str">
        <f t="shared" si="0"/>
        <v>F28</v>
      </c>
      <c r="B29" s="7" t="s">
        <v>156</v>
      </c>
      <c r="C29" s="9" t="s">
        <v>60</v>
      </c>
      <c r="D29" s="14" t="s">
        <v>156</v>
      </c>
      <c r="E29" s="11" t="s">
        <v>157</v>
      </c>
      <c r="F29" s="14" t="s">
        <v>158</v>
      </c>
      <c r="G29" s="11" t="s">
        <v>159</v>
      </c>
      <c r="H29" s="9" t="s">
        <v>29</v>
      </c>
      <c r="I29" s="9"/>
    </row>
    <row r="30" spans="1:9" ht="15.75" customHeight="1">
      <c r="A30" s="7" t="str">
        <f t="shared" si="0"/>
        <v>F29</v>
      </c>
      <c r="B30" s="7" t="s">
        <v>160</v>
      </c>
      <c r="C30" s="9" t="s">
        <v>60</v>
      </c>
      <c r="D30" s="20" t="s">
        <v>161</v>
      </c>
      <c r="E30" s="20" t="str">
        <f ca="1">IFERROR(__xludf.DUMMYFUNCTION("AI(""Remplis une valeur appropriée pour cette cellule en fonction du contexte de la table"")"),"Functional database, server, client, admin account")</f>
        <v>Functional database, server, client, admin account</v>
      </c>
      <c r="F30" s="22" t="s">
        <v>162</v>
      </c>
      <c r="G30" s="20" t="s">
        <v>163</v>
      </c>
      <c r="H30" s="9" t="s">
        <v>29</v>
      </c>
      <c r="I30" s="9"/>
    </row>
    <row r="31" spans="1:9" ht="15.75" customHeight="1">
      <c r="A31" s="7" t="str">
        <f t="shared" si="0"/>
        <v>F30</v>
      </c>
      <c r="B31" s="7" t="s">
        <v>164</v>
      </c>
      <c r="C31" s="9" t="s">
        <v>60</v>
      </c>
      <c r="D31" s="11" t="s">
        <v>165</v>
      </c>
      <c r="E31" s="11" t="s">
        <v>166</v>
      </c>
      <c r="F31" s="14" t="s">
        <v>167</v>
      </c>
      <c r="G31" s="11" t="s">
        <v>168</v>
      </c>
      <c r="H31" s="9" t="s">
        <v>29</v>
      </c>
      <c r="I31" s="9"/>
    </row>
    <row r="32" spans="1:9" ht="15.75" customHeight="1">
      <c r="A32" s="7" t="str">
        <f t="shared" si="0"/>
        <v>F31</v>
      </c>
      <c r="B32" s="7" t="s">
        <v>169</v>
      </c>
      <c r="C32" s="9" t="s">
        <v>60</v>
      </c>
      <c r="D32" s="20" t="s">
        <v>170</v>
      </c>
      <c r="E32" s="20" t="s">
        <v>166</v>
      </c>
      <c r="F32" s="22" t="s">
        <v>171</v>
      </c>
      <c r="G32" s="20" t="s">
        <v>172</v>
      </c>
      <c r="H32" s="9" t="s">
        <v>29</v>
      </c>
      <c r="I32" s="9"/>
    </row>
    <row r="33" spans="1:9" ht="15.75" customHeight="1">
      <c r="A33" s="7" t="str">
        <f t="shared" si="0"/>
        <v>F32</v>
      </c>
      <c r="B33" s="7" t="s">
        <v>173</v>
      </c>
      <c r="C33" s="9" t="s">
        <v>60</v>
      </c>
      <c r="D33" s="11" t="s">
        <v>174</v>
      </c>
      <c r="E33" s="11" t="s">
        <v>175</v>
      </c>
      <c r="F33" s="14" t="s">
        <v>176</v>
      </c>
      <c r="G33" s="11" t="s">
        <v>177</v>
      </c>
      <c r="H33" s="9" t="s">
        <v>29</v>
      </c>
      <c r="I33" s="9"/>
    </row>
    <row r="34" spans="1:9" ht="15.75" customHeight="1">
      <c r="A34" s="7" t="str">
        <f t="shared" si="0"/>
        <v>F33</v>
      </c>
      <c r="B34" s="7" t="s">
        <v>178</v>
      </c>
      <c r="C34" s="9" t="s">
        <v>60</v>
      </c>
      <c r="D34" s="20" t="s">
        <v>179</v>
      </c>
      <c r="E34" s="20" t="s">
        <v>180</v>
      </c>
      <c r="F34" s="22" t="s">
        <v>181</v>
      </c>
      <c r="G34" s="20" t="s">
        <v>182</v>
      </c>
      <c r="H34" s="9" t="s">
        <v>29</v>
      </c>
      <c r="I34" s="9"/>
    </row>
    <row r="35" spans="1:9" ht="15.75" customHeight="1">
      <c r="A35" s="7" t="str">
        <f t="shared" si="0"/>
        <v>F34</v>
      </c>
      <c r="B35" s="7" t="s">
        <v>183</v>
      </c>
      <c r="C35" s="9" t="s">
        <v>60</v>
      </c>
      <c r="D35" s="11" t="s">
        <v>184</v>
      </c>
      <c r="E35" s="11" t="s">
        <v>185</v>
      </c>
      <c r="F35" s="14" t="s">
        <v>186</v>
      </c>
      <c r="G35" s="11" t="s">
        <v>168</v>
      </c>
      <c r="H35" s="9" t="s">
        <v>29</v>
      </c>
      <c r="I35" s="9"/>
    </row>
    <row r="36" spans="1:9" ht="15.75" customHeight="1">
      <c r="A36" s="7" t="str">
        <f t="shared" si="0"/>
        <v>F35</v>
      </c>
      <c r="B36" s="7" t="s">
        <v>187</v>
      </c>
      <c r="C36" s="9" t="s">
        <v>60</v>
      </c>
      <c r="D36" s="20" t="s">
        <v>188</v>
      </c>
      <c r="E36" s="20" t="s">
        <v>189</v>
      </c>
      <c r="F36" s="22" t="s">
        <v>190</v>
      </c>
      <c r="G36" s="20" t="s">
        <v>168</v>
      </c>
      <c r="H36" s="9" t="s">
        <v>65</v>
      </c>
      <c r="I36" s="9"/>
    </row>
    <row r="37" spans="1:9" ht="15.75" customHeight="1">
      <c r="A37" s="7" t="str">
        <f t="shared" si="0"/>
        <v>F36</v>
      </c>
      <c r="B37" s="7" t="s">
        <v>191</v>
      </c>
      <c r="C37" s="9" t="s">
        <v>60</v>
      </c>
      <c r="D37" s="11" t="str">
        <f ca="1">IFERROR(__xludf.DUMMYFUNCTION("AI(""Remplis une valeur appropriée pour cette cellule en fonction du contexte de la table"")"),"Assign a vehicle to a parking")</f>
        <v>Assign a vehicle to a parking</v>
      </c>
      <c r="E37" s="11" t="s">
        <v>192</v>
      </c>
      <c r="F37" s="14" t="s">
        <v>193</v>
      </c>
      <c r="G37" s="11" t="s">
        <v>194</v>
      </c>
      <c r="H37" s="9" t="s">
        <v>65</v>
      </c>
      <c r="I37" s="9"/>
    </row>
    <row r="38" spans="1:9" ht="15.75" customHeight="1">
      <c r="A38" s="7" t="str">
        <f t="shared" si="0"/>
        <v>F37</v>
      </c>
      <c r="B38" s="7" t="s">
        <v>195</v>
      </c>
      <c r="C38" s="9" t="s">
        <v>24</v>
      </c>
      <c r="D38" s="20" t="s">
        <v>196</v>
      </c>
      <c r="E38" s="20" t="s">
        <v>197</v>
      </c>
      <c r="F38" s="22" t="s">
        <v>198</v>
      </c>
      <c r="G38" s="20" t="s">
        <v>199</v>
      </c>
      <c r="H38" s="9" t="s">
        <v>29</v>
      </c>
      <c r="I38" s="9"/>
    </row>
    <row r="39" spans="1:9" ht="15.75" customHeight="1">
      <c r="A39" s="7" t="str">
        <f t="shared" si="0"/>
        <v>F38</v>
      </c>
      <c r="B39" s="7" t="s">
        <v>200</v>
      </c>
      <c r="C39" s="9" t="s">
        <v>24</v>
      </c>
      <c r="D39" s="11" t="s">
        <v>200</v>
      </c>
      <c r="E39" s="11" t="s">
        <v>201</v>
      </c>
      <c r="F39" s="14" t="s">
        <v>202</v>
      </c>
      <c r="G39" s="11" t="s">
        <v>203</v>
      </c>
      <c r="H39" s="9" t="s">
        <v>29</v>
      </c>
      <c r="I39" s="9"/>
    </row>
    <row r="40" spans="1:9" ht="15.75" customHeight="1">
      <c r="A40" s="7" t="str">
        <f t="shared" si="0"/>
        <v>F39</v>
      </c>
      <c r="B40" s="7" t="s">
        <v>204</v>
      </c>
      <c r="C40" s="9" t="s">
        <v>60</v>
      </c>
      <c r="D40" s="20" t="s">
        <v>205</v>
      </c>
      <c r="E40" s="20" t="s">
        <v>206</v>
      </c>
      <c r="F40" s="22" t="s">
        <v>207</v>
      </c>
      <c r="G40" s="20" t="s">
        <v>208</v>
      </c>
      <c r="H40" s="9" t="s">
        <v>29</v>
      </c>
      <c r="I40" s="9"/>
    </row>
    <row r="41" spans="1:9" ht="15.75" customHeight="1">
      <c r="A41" s="7" t="str">
        <f t="shared" si="0"/>
        <v>F40</v>
      </c>
      <c r="B41" s="7" t="s">
        <v>209</v>
      </c>
      <c r="C41" s="9" t="s">
        <v>24</v>
      </c>
      <c r="D41" s="11" t="s">
        <v>210</v>
      </c>
      <c r="E41" s="11" t="s">
        <v>211</v>
      </c>
      <c r="F41" s="14" t="s">
        <v>212</v>
      </c>
      <c r="G41" s="11" t="s">
        <v>213</v>
      </c>
      <c r="H41" s="9" t="s">
        <v>29</v>
      </c>
      <c r="I41" s="9"/>
    </row>
    <row r="42" spans="1:9" ht="15.75" customHeight="1">
      <c r="A42" s="7" t="str">
        <f t="shared" si="0"/>
        <v>F41</v>
      </c>
      <c r="B42" s="7" t="s">
        <v>214</v>
      </c>
      <c r="C42" s="9" t="s">
        <v>24</v>
      </c>
      <c r="D42" s="20" t="s">
        <v>215</v>
      </c>
      <c r="E42" s="20" t="s">
        <v>216</v>
      </c>
      <c r="F42" s="22" t="s">
        <v>217</v>
      </c>
      <c r="G42" s="20" t="s">
        <v>218</v>
      </c>
      <c r="H42" s="9" t="s">
        <v>29</v>
      </c>
      <c r="I42" s="9"/>
    </row>
    <row r="43" spans="1:9" ht="15.75" customHeight="1">
      <c r="A43" s="7" t="str">
        <f t="shared" si="0"/>
        <v>F42</v>
      </c>
      <c r="B43" s="7" t="s">
        <v>219</v>
      </c>
      <c r="C43" s="9" t="s">
        <v>24</v>
      </c>
      <c r="D43" s="11" t="s">
        <v>220</v>
      </c>
      <c r="E43" s="11" t="s">
        <v>221</v>
      </c>
      <c r="F43" s="14" t="s">
        <v>222</v>
      </c>
      <c r="G43" s="11" t="s">
        <v>223</v>
      </c>
      <c r="H43" s="9" t="s">
        <v>29</v>
      </c>
      <c r="I43" s="9"/>
    </row>
    <row r="44" spans="1:9" ht="15.75" customHeight="1">
      <c r="A44" s="7" t="str">
        <f t="shared" si="0"/>
        <v>F43</v>
      </c>
      <c r="B44" s="7" t="s">
        <v>224</v>
      </c>
      <c r="C44" s="9" t="s">
        <v>24</v>
      </c>
      <c r="D44" s="20" t="s">
        <v>225</v>
      </c>
      <c r="E44" s="20" t="s">
        <v>226</v>
      </c>
      <c r="F44" s="23" t="s">
        <v>227</v>
      </c>
      <c r="G44" s="20" t="s">
        <v>228</v>
      </c>
      <c r="H44" s="9" t="s">
        <v>29</v>
      </c>
      <c r="I44" s="9"/>
    </row>
    <row r="45" spans="1:9" ht="15.75" customHeight="1">
      <c r="A45" s="7" t="str">
        <f t="shared" si="0"/>
        <v>F44</v>
      </c>
      <c r="B45" s="7" t="s">
        <v>229</v>
      </c>
      <c r="C45" s="9" t="s">
        <v>24</v>
      </c>
      <c r="D45" s="11" t="s">
        <v>230</v>
      </c>
      <c r="E45" s="11" t="s">
        <v>231</v>
      </c>
      <c r="F45" s="14" t="s">
        <v>232</v>
      </c>
      <c r="G45" s="11" t="s">
        <v>233</v>
      </c>
      <c r="H45" s="9" t="s">
        <v>29</v>
      </c>
      <c r="I45" s="9"/>
    </row>
    <row r="46" spans="1:9" ht="15.75" customHeight="1">
      <c r="A46" s="7" t="str">
        <f t="shared" si="0"/>
        <v>F45</v>
      </c>
      <c r="B46" s="7" t="s">
        <v>234</v>
      </c>
      <c r="C46" s="9" t="s">
        <v>24</v>
      </c>
      <c r="D46" s="20" t="s">
        <v>230</v>
      </c>
      <c r="E46" s="20" t="s">
        <v>231</v>
      </c>
      <c r="F46" s="22" t="s">
        <v>235</v>
      </c>
      <c r="G46" s="20" t="s">
        <v>236</v>
      </c>
      <c r="H46" s="9" t="s">
        <v>29</v>
      </c>
      <c r="I46" s="9"/>
    </row>
    <row r="47" spans="1:9" ht="15.75" customHeight="1">
      <c r="A47" s="7" t="str">
        <f t="shared" si="0"/>
        <v>F46</v>
      </c>
      <c r="B47" s="7" t="s">
        <v>237</v>
      </c>
      <c r="C47" s="9" t="s">
        <v>60</v>
      </c>
      <c r="D47" s="11" t="s">
        <v>238</v>
      </c>
      <c r="E47" s="11" t="s">
        <v>239</v>
      </c>
      <c r="F47" s="14" t="s">
        <v>240</v>
      </c>
      <c r="G47" s="11" t="s">
        <v>241</v>
      </c>
      <c r="H47" s="9" t="s">
        <v>29</v>
      </c>
      <c r="I47" s="9"/>
    </row>
    <row r="48" spans="1:9" ht="15.75" customHeight="1">
      <c r="A48" s="7" t="str">
        <f t="shared" si="0"/>
        <v>F47</v>
      </c>
      <c r="B48" s="7" t="s">
        <v>242</v>
      </c>
      <c r="C48" s="9" t="s">
        <v>60</v>
      </c>
      <c r="D48" s="20" t="s">
        <v>243</v>
      </c>
      <c r="E48" s="20" t="s">
        <v>244</v>
      </c>
      <c r="F48" s="22" t="s">
        <v>245</v>
      </c>
      <c r="G48" s="20" t="s">
        <v>241</v>
      </c>
      <c r="H48" s="9" t="s">
        <v>29</v>
      </c>
      <c r="I48" s="9"/>
    </row>
    <row r="49" spans="1:9" ht="15.75" customHeight="1">
      <c r="A49" s="7" t="str">
        <f t="shared" si="0"/>
        <v>F48</v>
      </c>
      <c r="B49" s="7" t="s">
        <v>246</v>
      </c>
      <c r="C49" s="9" t="s">
        <v>60</v>
      </c>
      <c r="D49" s="11" t="s">
        <v>247</v>
      </c>
      <c r="E49" s="11" t="s">
        <v>248</v>
      </c>
      <c r="F49" s="14" t="s">
        <v>249</v>
      </c>
      <c r="G49" s="11" t="s">
        <v>241</v>
      </c>
      <c r="H49" s="9" t="s">
        <v>29</v>
      </c>
      <c r="I49" s="9"/>
    </row>
    <row r="50" spans="1:9" ht="15.75" customHeight="1">
      <c r="A50" s="7" t="str">
        <f t="shared" si="0"/>
        <v>F49</v>
      </c>
      <c r="B50" s="7" t="s">
        <v>250</v>
      </c>
      <c r="C50" s="9" t="s">
        <v>60</v>
      </c>
      <c r="D50" s="11" t="s">
        <v>251</v>
      </c>
      <c r="E50" s="11" t="s">
        <v>252</v>
      </c>
      <c r="F50" s="14" t="s">
        <v>253</v>
      </c>
      <c r="G50" s="11" t="s">
        <v>254</v>
      </c>
      <c r="H50" s="9" t="s">
        <v>65</v>
      </c>
      <c r="I50" s="9"/>
    </row>
    <row r="51" spans="1:9" ht="15.75" customHeight="1">
      <c r="A51" s="7" t="str">
        <f t="shared" si="0"/>
        <v>F50</v>
      </c>
      <c r="B51" s="7" t="s">
        <v>255</v>
      </c>
      <c r="C51" s="9" t="s">
        <v>60</v>
      </c>
      <c r="D51" s="20" t="s">
        <v>256</v>
      </c>
      <c r="E51" s="20" t="s">
        <v>252</v>
      </c>
      <c r="F51" s="22" t="s">
        <v>257</v>
      </c>
      <c r="G51" s="20" t="s">
        <v>258</v>
      </c>
      <c r="H51" s="9" t="s">
        <v>65</v>
      </c>
      <c r="I51" s="9"/>
    </row>
    <row r="52" spans="1:9" ht="15.75" customHeight="1">
      <c r="A52" s="7" t="str">
        <f t="shared" si="0"/>
        <v>F51</v>
      </c>
      <c r="B52" s="7" t="s">
        <v>259</v>
      </c>
      <c r="C52" s="9" t="s">
        <v>60</v>
      </c>
      <c r="D52" s="11" t="s">
        <v>260</v>
      </c>
      <c r="E52" s="11" t="s">
        <v>261</v>
      </c>
      <c r="F52" s="14" t="s">
        <v>262</v>
      </c>
      <c r="G52" s="11" t="s">
        <v>263</v>
      </c>
      <c r="H52" s="9" t="s">
        <v>65</v>
      </c>
      <c r="I52" s="9"/>
    </row>
    <row r="53" spans="1:9" ht="15.75" customHeight="1">
      <c r="A53" s="7" t="str">
        <f t="shared" si="0"/>
        <v>F52</v>
      </c>
      <c r="B53" s="7" t="s">
        <v>264</v>
      </c>
      <c r="C53" s="9" t="s">
        <v>60</v>
      </c>
      <c r="D53" s="24" t="s">
        <v>265</v>
      </c>
      <c r="E53" s="24" t="s">
        <v>266</v>
      </c>
      <c r="F53" s="25" t="s">
        <v>267</v>
      </c>
      <c r="G53" s="24" t="s">
        <v>268</v>
      </c>
      <c r="H53" s="9" t="s">
        <v>65</v>
      </c>
      <c r="I53" s="9"/>
    </row>
    <row r="54" spans="1:9" ht="15.75" customHeight="1"/>
    <row r="55" spans="1:9" ht="15.75" customHeight="1"/>
    <row r="56" spans="1:9" ht="15.75" customHeight="1"/>
    <row r="57" spans="1:9" ht="15.75" customHeight="1"/>
    <row r="58" spans="1:9" ht="15.75" customHeight="1"/>
    <row r="59" spans="1:9" ht="15.75" customHeight="1"/>
    <row r="60" spans="1:9" ht="15.75" customHeight="1"/>
    <row r="61" spans="1:9" ht="15.75" customHeight="1"/>
    <row r="62" spans="1:9" ht="15.75" customHeight="1"/>
    <row r="63" spans="1:9" ht="15.75" customHeight="1"/>
    <row r="64" spans="1: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AE9FF97-B702-4B0C-9FF4-3235CCBC6099}" filter="1" showAutoFilter="1">
      <autoFilter ref="A1:I53" xr:uid="{8D716634-CDFF-4EEA-B843-9BEC7C5337CA}"/>
      <extLst>
        <ext uri="GoogleSheetsCustomDataVersion1">
          <go:sheetsCustomData xmlns:go="http://customooxmlschemas.google.com/" filterViewId="1276957279"/>
        </ext>
      </extLst>
    </customSheetView>
  </customSheetViews>
  <conditionalFormatting sqref="C1:C1000">
    <cfRule type="containsText" dxfId="8" priority="1" operator="containsText" text="User interface">
      <formula>NOT(ISERROR(SEARCH(("User interface"),(C1))))</formula>
    </cfRule>
  </conditionalFormatting>
  <conditionalFormatting sqref="C1:C1000">
    <cfRule type="containsText" dxfId="7" priority="2" operator="containsText" text="Secondary function">
      <formula>NOT(ISERROR(SEARCH(("Secondary function"),(C1))))</formula>
    </cfRule>
  </conditionalFormatting>
  <conditionalFormatting sqref="C1:C1000">
    <cfRule type="containsText" dxfId="6" priority="3" operator="containsText" text="Critical feature">
      <formula>NOT(ISERROR(SEARCH(("Critical feature"),(C1))))</formula>
    </cfRule>
  </conditionalFormatting>
  <conditionalFormatting sqref="H1:H1000">
    <cfRule type="containsText" dxfId="5" priority="4" operator="containsText" text="Done">
      <formula>NOT(ISERROR(SEARCH(("Done"),(H1))))</formula>
    </cfRule>
  </conditionalFormatting>
  <conditionalFormatting sqref="H1:H1000">
    <cfRule type="containsText" dxfId="4" priority="5" operator="containsText" text="In progress">
      <formula>NOT(ISERROR(SEARCH(("In progress"),(H1))))</formula>
    </cfRule>
  </conditionalFormatting>
  <conditionalFormatting sqref="I2:I1000">
    <cfRule type="containsText" dxfId="3" priority="6" operator="containsText" text="Meets requirements">
      <formula>NOT(ISERROR(SEARCH(("Meets requirements"),(I2))))</formula>
    </cfRule>
  </conditionalFormatting>
  <conditionalFormatting sqref="I2:I1000">
    <cfRule type="containsText" dxfId="2" priority="7" operator="containsText" text="Non-compliant">
      <formula>NOT(ISERROR(SEARCH(("Non-compliant"),(I2))))</formula>
    </cfRule>
  </conditionalFormatting>
  <conditionalFormatting sqref="I2:I1000">
    <cfRule type="containsText" dxfId="1" priority="8" operator="containsText" text="Meets requirements">
      <formula>NOT(ISERROR(SEARCH(("Meets requirements"),(I2))))</formula>
    </cfRule>
  </conditionalFormatting>
  <conditionalFormatting sqref="I2:I1000">
    <cfRule type="containsText" dxfId="0" priority="9" operator="containsText" text="Non-compliant">
      <formula>NOT(ISERROR(SEARCH(("Non-compliant"),(I2))))</formula>
    </cfRule>
  </conditionalFormatting>
  <dataValidations count="2">
    <dataValidation type="list" allowBlank="1" showErrorMessage="1" sqref="C2:C1000" xr:uid="{00000000-0002-0000-0100-000000000000}">
      <formula1>"Critical feature,Secondary function,User interface,Compatibility"</formula1>
    </dataValidation>
    <dataValidation type="list" allowBlank="1" showErrorMessage="1" sqref="H2:H1000" xr:uid="{00000000-0002-0000-0100-000001000000}">
      <formula1>"In progress,Done"</formula1>
    </dataValidation>
  </dataValidations>
  <hyperlinks>
    <hyperlink ref="F20" location="Google_Sheet_Link_227720446" display="1. Select the relevant group_x000a_2. Go to the &quot;Subgroups&quot; section_x000a_3. Click on the &quot;Create a new group&quot; button_x000a_4. Enter the group name in the &quot;Group name&quot; field_x000a_5. Click on the &quot;Create group&quot; button_x000a_6. Wait for the success toast message_x000a__x000a_Or use the F18 method, making sure to select the desired group as parent" xr:uid="{00000000-0004-0000-0100-000000000000}"/>
    <hyperlink ref="F44" location="Google_Sheet_Link_1282997447" display="Current reservation:_x000a_1. Log in as an employee_x000a_2. Go to the dashboard page_x000a_3. Look at the current reservations section_x000a_4. Click on &quot;Return vehicle&quot; button_x000a_5. Do the F38  step_x000a__x000a_Future reservation:_x000a_1. Log in as an employee_x000a_2. Go to the dashboard page_x000a_3. Look at the futur reservations section_x000a_4. Click on &quot;Cancel reservation&quot; button" xr:uid="{00000000-0004-0000-0100-000001000000}"/>
  </hyperlinks>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b345d38-e56c-4883-8b10-949d990b89ec" xsi:nil="true"/>
    <lcf76f155ced4ddcb4097134ff3c332f xmlns="0a2fa1b9-7b4b-4870-809c-32f6bf85731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B11EB163E27AE4CB7114FA4C806ADDF" ma:contentTypeVersion="11" ma:contentTypeDescription="Crée un document." ma:contentTypeScope="" ma:versionID="c79268d8888825885e7d41003ca78cc5">
  <xsd:schema xmlns:xsd="http://www.w3.org/2001/XMLSchema" xmlns:xs="http://www.w3.org/2001/XMLSchema" xmlns:p="http://schemas.microsoft.com/office/2006/metadata/properties" xmlns:ns2="0a2fa1b9-7b4b-4870-809c-32f6bf857318" xmlns:ns3="8b345d38-e56c-4883-8b10-949d990b89ec" targetNamespace="http://schemas.microsoft.com/office/2006/metadata/properties" ma:root="true" ma:fieldsID="deafcd97a2b4b067ccfa01b91de5bfda" ns2:_="" ns3:_="">
    <xsd:import namespace="0a2fa1b9-7b4b-4870-809c-32f6bf857318"/>
    <xsd:import namespace="8b345d38-e56c-4883-8b10-949d990b89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2fa1b9-7b4b-4870-809c-32f6bf8573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ea5cba62-7a90-4cbb-8c0d-a8cd742f6be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b345d38-e56c-4883-8b10-949d990b89e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6b16ff7-b0a1-4ede-988e-88b96079dac0}" ma:internalName="TaxCatchAll" ma:showField="CatchAllData" ma:web="8b345d38-e56c-4883-8b10-949d990b89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10EDEF-143B-41B5-BC6C-3722FEE51079}"/>
</file>

<file path=customXml/itemProps2.xml><?xml version="1.0" encoding="utf-8"?>
<ds:datastoreItem xmlns:ds="http://schemas.openxmlformats.org/officeDocument/2006/customXml" ds:itemID="{81E7F267-0854-472B-A223-9E809306D439}"/>
</file>

<file path=customXml/itemProps3.xml><?xml version="1.0" encoding="utf-8"?>
<ds:datastoreItem xmlns:ds="http://schemas.openxmlformats.org/officeDocument/2006/customXml" ds:itemID="{23D4323C-1090-42D5-ABC7-2711BB3594E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Lisa Nay</dc:creator>
  <cp:keywords/>
  <dc:description/>
  <cp:lastModifiedBy>Rosa Carvahlo</cp:lastModifiedBy>
  <cp:revision/>
  <dcterms:created xsi:type="dcterms:W3CDTF">2025-09-29T09:37:31Z</dcterms:created>
  <dcterms:modified xsi:type="dcterms:W3CDTF">2026-09-09T08:09:02Z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0x010100CB11EB163E27AE4CB7114FA4C806ADDF</vt:lpwstr>
  </property>
  <property fmtid="{D5CDD505-2E9C-101B-9397-08002B2CF9AE}" pid="3" name="MediaServiceImageTags">
    <vt:lpwstr/>
  </property>
</Properties>
</file>